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KXWmby+QxOSHqXYWBBvYPer8ufh0zCiiWZvFCQkcOJA="/>
    </ext>
  </extLst>
</workbook>
</file>

<file path=xl/sharedStrings.xml><?xml version="1.0" encoding="utf-8"?>
<sst xmlns="http://schemas.openxmlformats.org/spreadsheetml/2006/main" count="67" uniqueCount="24">
  <si>
    <t>Experiment No.</t>
  </si>
  <si>
    <t>Model</t>
  </si>
  <si>
    <t>Activation Function</t>
  </si>
  <si>
    <t>Learning Rate</t>
  </si>
  <si>
    <t>Epochs</t>
  </si>
  <si>
    <t>Batch Size</t>
  </si>
  <si>
    <t>No. of Layers</t>
  </si>
  <si>
    <t>Normalization</t>
  </si>
  <si>
    <t>Data Augmentation</t>
  </si>
  <si>
    <t>Training Loss</t>
  </si>
  <si>
    <t>F1 score on Test Data</t>
  </si>
  <si>
    <t>Mean</t>
  </si>
  <si>
    <t>Variance</t>
  </si>
  <si>
    <t>Roberta</t>
  </si>
  <si>
    <t>ReLu</t>
  </si>
  <si>
    <t>1e-5</t>
  </si>
  <si>
    <t>Yes</t>
  </si>
  <si>
    <t>No</t>
  </si>
  <si>
    <t>GeLu</t>
  </si>
  <si>
    <t>1e-3</t>
  </si>
  <si>
    <t xml:space="preserve">Yes </t>
  </si>
  <si>
    <t xml:space="preserve">No </t>
  </si>
  <si>
    <t xml:space="preserve">ReLu </t>
  </si>
  <si>
    <t>ALBERT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</si>
</sst>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b/>
      <sz val="11.0"/>
      <color rgb="FFFFFFFF"/>
      <name val="Times New Roman"/>
    </font>
    <font/>
    <font>
      <sz val="11.0"/>
      <color rgb="FF363832"/>
      <name val="Times New Roman"/>
    </font>
    <font>
      <sz val="11.0"/>
      <color theme="1"/>
      <name val="Times New Roman"/>
    </font>
    <font>
      <sz val="11.0"/>
      <color theme="1"/>
      <name val="Aptos Narrow"/>
    </font>
    <font>
      <sz val="14.0"/>
      <color rgb="FF363832"/>
      <name val="Times New Roman"/>
    </font>
    <font>
      <sz val="11.0"/>
      <color rgb="FF292929"/>
      <name val="Times New Roman"/>
    </font>
    <font>
      <sz val="11.0"/>
      <color rgb="FF1F1F1F"/>
      <name val="Times New Roman"/>
    </font>
    <font>
      <sz val="11.0"/>
      <color rgb="FF1F1F1F"/>
      <name val="Monospace"/>
    </font>
  </fonts>
  <fills count="5">
    <fill>
      <patternFill patternType="none"/>
    </fill>
    <fill>
      <patternFill patternType="lightGray"/>
    </fill>
    <fill>
      <patternFill patternType="solid">
        <fgColor rgb="FF307CC0"/>
        <bgColor rgb="FF307CC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18">
    <border/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thick">
        <color rgb="FF000000"/>
      </right>
      <top style="thick">
        <color rgb="FF000000"/>
      </top>
      <bottom/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1" shrinkToFit="0" vertical="center" wrapText="1"/>
    </xf>
    <xf borderId="2" fillId="2" fontId="1" numFmtId="0" xfId="0" applyAlignment="1" applyBorder="1" applyFont="1">
      <alignment horizontal="center" readingOrder="1" shrinkToFit="0" vertical="center" wrapText="1"/>
    </xf>
    <xf borderId="3" fillId="2" fontId="1" numFmtId="0" xfId="0" applyAlignment="1" applyBorder="1" applyFont="1">
      <alignment horizontal="center" readingOrder="1" shrinkToFit="0" vertical="center" wrapText="1"/>
    </xf>
    <xf borderId="4" fillId="2" fontId="1" numFmtId="0" xfId="0" applyAlignment="1" applyBorder="1" applyFont="1">
      <alignment horizontal="center" readingOrder="1" shrinkToFit="0" vertical="center" wrapText="1"/>
    </xf>
    <xf borderId="5" fillId="0" fontId="2" numFmtId="0" xfId="0" applyBorder="1" applyFont="1"/>
    <xf borderId="6" fillId="0" fontId="2" numFmtId="0" xfId="0" applyBorder="1" applyFont="1"/>
    <xf borderId="2" fillId="0" fontId="3" numFmtId="0" xfId="0" applyAlignment="1" applyBorder="1" applyFont="1">
      <alignment horizontal="center" readingOrder="1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center" readingOrder="1" shrinkToFit="0" vertical="center" wrapText="1"/>
    </xf>
    <xf borderId="8" fillId="0" fontId="3" numFmtId="0" xfId="0" applyAlignment="1" applyBorder="1" applyFont="1">
      <alignment horizontal="center" readingOrder="1" shrinkToFit="0" vertical="center" wrapText="1"/>
    </xf>
    <xf borderId="9" fillId="0" fontId="3" numFmtId="0" xfId="0" applyAlignment="1" applyBorder="1" applyFont="1">
      <alignment horizontal="center" readingOrder="1" shrinkToFit="0" vertical="center" wrapText="1"/>
    </xf>
    <xf borderId="10" fillId="0" fontId="5" numFmtId="0" xfId="0" applyAlignment="1" applyBorder="1" applyFont="1">
      <alignment horizontal="center"/>
    </xf>
    <xf borderId="9" fillId="0" fontId="2" numFmtId="0" xfId="0" applyBorder="1" applyFont="1"/>
    <xf borderId="0" fillId="0" fontId="5" numFmtId="0" xfId="0" applyFont="1"/>
    <xf borderId="9" fillId="0" fontId="3" numFmtId="49" xfId="0" applyAlignment="1" applyBorder="1" applyFont="1" applyNumberFormat="1">
      <alignment horizontal="center" readingOrder="1" shrinkToFit="0" vertical="center" wrapText="1"/>
    </xf>
    <xf borderId="4" fillId="0" fontId="3" numFmtId="0" xfId="0" applyAlignment="1" applyBorder="1" applyFont="1">
      <alignment horizontal="center" readingOrder="1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1" shrinkToFit="0" vertical="center" wrapText="1"/>
    </xf>
    <xf borderId="11" fillId="0" fontId="2" numFmtId="0" xfId="0" applyBorder="1" applyFont="1"/>
    <xf borderId="2" fillId="0" fontId="3" numFmtId="49" xfId="0" applyAlignment="1" applyBorder="1" applyFont="1" applyNumberFormat="1">
      <alignment horizontal="center" readingOrder="1" shrinkToFit="0" vertical="center" wrapText="1"/>
    </xf>
    <xf borderId="6" fillId="0" fontId="3" numFmtId="0" xfId="0" applyAlignment="1" applyBorder="1" applyFont="1">
      <alignment horizontal="center" readingOrder="1" shrinkToFit="0" vertical="center" wrapText="1"/>
    </xf>
    <xf borderId="2" fillId="0" fontId="3" numFmtId="2" xfId="0" applyAlignment="1" applyBorder="1" applyFont="1" applyNumberFormat="1">
      <alignment horizontal="center" readingOrder="1" shrinkToFit="0" vertical="center" wrapText="1"/>
    </xf>
    <xf borderId="4" fillId="0" fontId="3" numFmtId="2" xfId="0" applyAlignment="1" applyBorder="1" applyFont="1" applyNumberFormat="1">
      <alignment horizontal="center" readingOrder="1" shrinkToFit="0" vertical="center" wrapText="1"/>
    </xf>
    <xf borderId="5" fillId="0" fontId="3" numFmtId="2" xfId="0" applyAlignment="1" applyBorder="1" applyFont="1" applyNumberFormat="1">
      <alignment horizontal="center" readingOrder="1" shrinkToFit="0" vertical="center" wrapText="1"/>
    </xf>
    <xf borderId="2" fillId="0" fontId="4" numFmtId="2" xfId="0" applyAlignment="1" applyBorder="1" applyFont="1" applyNumberFormat="1">
      <alignment horizontal="center" shrinkToFit="0" vertical="center" wrapText="1"/>
    </xf>
    <xf borderId="12" fillId="3" fontId="3" numFmtId="0" xfId="0" applyAlignment="1" applyBorder="1" applyFill="1" applyFont="1">
      <alignment horizontal="center" readingOrder="1" shrinkToFit="0" vertical="center" wrapText="1"/>
    </xf>
    <xf borderId="13" fillId="3" fontId="3" numFmtId="49" xfId="0" applyAlignment="1" applyBorder="1" applyFont="1" applyNumberFormat="1">
      <alignment horizontal="center" readingOrder="1" shrinkToFit="0" vertical="center" wrapText="1"/>
    </xf>
    <xf borderId="13" fillId="3" fontId="3" numFmtId="0" xfId="0" applyAlignment="1" applyBorder="1" applyFont="1">
      <alignment horizontal="center" readingOrder="1" shrinkToFit="0" vertical="center" wrapText="1"/>
    </xf>
    <xf borderId="12" fillId="3" fontId="3" numFmtId="0" xfId="0" applyAlignment="1" applyBorder="1" applyFont="1">
      <alignment horizontal="center" readingOrder="1" shrinkToFit="0" vertical="center" wrapText="1"/>
    </xf>
    <xf borderId="2" fillId="3" fontId="3" numFmtId="2" xfId="0" applyAlignment="1" applyBorder="1" applyFont="1" applyNumberFormat="1">
      <alignment horizontal="center" readingOrder="1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14" fillId="0" fontId="3" numFmtId="0" xfId="0" applyAlignment="1" applyBorder="1" applyFont="1">
      <alignment horizontal="center" readingOrder="1" shrinkToFit="0" vertical="center" wrapText="1"/>
    </xf>
    <xf borderId="7" fillId="0" fontId="3" numFmtId="49" xfId="0" applyAlignment="1" applyBorder="1" applyFont="1" applyNumberFormat="1">
      <alignment horizontal="center" readingOrder="1" shrinkToFit="0" vertical="center" wrapText="1"/>
    </xf>
    <xf borderId="2" fillId="0" fontId="7" numFmtId="0" xfId="0" applyAlignment="1" applyBorder="1" applyFont="1">
      <alignment horizontal="center"/>
    </xf>
    <xf borderId="4" fillId="0" fontId="7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4" fillId="0" fontId="4" numFmtId="0" xfId="0" applyAlignment="1" applyBorder="1" applyFont="1">
      <alignment horizontal="center" shrinkToFit="0" vertical="center" wrapText="1"/>
    </xf>
    <xf borderId="11" fillId="0" fontId="3" numFmtId="0" xfId="0" applyAlignment="1" applyBorder="1" applyFont="1">
      <alignment horizontal="center" readingOrder="1" shrinkToFit="0" vertical="center" wrapText="1"/>
    </xf>
    <xf borderId="0" fillId="0" fontId="8" numFmtId="0" xfId="0" applyAlignment="1" applyFont="1">
      <alignment horizontal="center"/>
    </xf>
    <xf borderId="15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14" fillId="0" fontId="3" numFmtId="49" xfId="0" applyAlignment="1" applyBorder="1" applyFont="1" applyNumberFormat="1">
      <alignment horizontal="center" readingOrder="1" shrinkToFit="0" vertical="center" wrapText="1"/>
    </xf>
    <xf borderId="7" fillId="0" fontId="4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shrinkToFit="0" vertical="center" wrapText="1"/>
    </xf>
    <xf borderId="8" fillId="0" fontId="4" numFmtId="0" xfId="0" applyAlignment="1" applyBorder="1" applyFont="1">
      <alignment horizontal="center" shrinkToFit="0" vertical="center" wrapText="1"/>
    </xf>
    <xf borderId="12" fillId="0" fontId="3" numFmtId="0" xfId="0" applyAlignment="1" applyBorder="1" applyFont="1">
      <alignment horizontal="center" readingOrder="1" shrinkToFit="0" vertical="center" wrapText="1"/>
    </xf>
    <xf borderId="12" fillId="0" fontId="4" numFmtId="0" xfId="0" applyAlignment="1" applyBorder="1" applyFont="1">
      <alignment horizontal="center" shrinkToFit="0" vertical="center" wrapText="1"/>
    </xf>
    <xf borderId="13" fillId="0" fontId="3" numFmtId="0" xfId="0" applyAlignment="1" applyBorder="1" applyFont="1">
      <alignment horizontal="center" readingOrder="1" shrinkToFit="0" vertical="center" wrapText="1"/>
    </xf>
    <xf borderId="13" fillId="0" fontId="2" numFmtId="0" xfId="0" applyBorder="1" applyFont="1"/>
    <xf borderId="13" fillId="0" fontId="4" numFmtId="0" xfId="0" applyAlignment="1" applyBorder="1" applyFont="1">
      <alignment horizontal="center" shrinkToFit="0" vertical="center" wrapText="1"/>
    </xf>
    <xf borderId="16" fillId="0" fontId="3" numFmtId="0" xfId="0" applyAlignment="1" applyBorder="1" applyFont="1">
      <alignment horizontal="center" readingOrder="1" shrinkToFit="0" vertical="center" wrapText="1"/>
    </xf>
    <xf borderId="17" fillId="0" fontId="3" numFmtId="0" xfId="0" applyAlignment="1" applyBorder="1" applyFont="1">
      <alignment horizontal="center" readingOrder="1" shrinkToFit="0" vertical="center" wrapText="1"/>
    </xf>
    <xf borderId="12" fillId="0" fontId="2" numFmtId="0" xfId="0" applyBorder="1" applyFont="1"/>
    <xf borderId="0" fillId="4" fontId="9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3.38"/>
    <col customWidth="1" min="3" max="3" width="11.63"/>
    <col customWidth="1" min="4" max="4" width="11.13"/>
    <col customWidth="1" min="5" max="5" width="11.88"/>
    <col customWidth="1" min="6" max="6" width="7.75"/>
    <col customWidth="1" min="7" max="7" width="9.88"/>
    <col customWidth="1" min="8" max="8" width="13.25"/>
    <col customWidth="1" min="9" max="9" width="14.13"/>
    <col customWidth="1" min="10" max="10" width="15.63"/>
    <col customWidth="1" min="11" max="11" width="12.25"/>
    <col customWidth="1" min="12" max="16" width="6.38"/>
    <col customWidth="1" min="17" max="17" width="8.0"/>
    <col customWidth="1" min="18" max="18" width="10.88"/>
    <col customWidth="1" min="19" max="19" width="9.63"/>
    <col customWidth="1" min="20" max="26" width="8.63"/>
  </cols>
  <sheetData>
    <row r="1" ht="42.0" customHeight="1">
      <c r="B1" s="1" t="s">
        <v>0</v>
      </c>
      <c r="C1" s="2" t="s">
        <v>1</v>
      </c>
      <c r="D1" s="1" t="s">
        <v>2</v>
      </c>
      <c r="E1" s="3" t="s">
        <v>3</v>
      </c>
      <c r="F1" s="1" t="s">
        <v>4</v>
      </c>
      <c r="G1" s="1" t="s">
        <v>5</v>
      </c>
      <c r="H1" s="2" t="s">
        <v>6</v>
      </c>
      <c r="I1" s="3" t="s">
        <v>7</v>
      </c>
      <c r="J1" s="1" t="s">
        <v>8</v>
      </c>
      <c r="K1" s="2" t="s">
        <v>9</v>
      </c>
      <c r="L1" s="4" t="s">
        <v>10</v>
      </c>
      <c r="M1" s="5"/>
      <c r="N1" s="5"/>
      <c r="O1" s="5"/>
      <c r="P1" s="6"/>
      <c r="Q1" s="2" t="s">
        <v>11</v>
      </c>
      <c r="R1" s="2" t="s">
        <v>12</v>
      </c>
    </row>
    <row r="2">
      <c r="B2" s="7"/>
      <c r="C2" s="8"/>
      <c r="D2" s="5"/>
      <c r="E2" s="5"/>
      <c r="F2" s="5"/>
      <c r="G2" s="5"/>
      <c r="H2" s="5"/>
      <c r="I2" s="5"/>
      <c r="J2" s="5"/>
      <c r="K2" s="6"/>
      <c r="L2" s="9">
        <v>0.0</v>
      </c>
      <c r="M2" s="9">
        <v>1.0</v>
      </c>
      <c r="N2" s="10">
        <v>2.0</v>
      </c>
      <c r="O2" s="9">
        <v>3.0</v>
      </c>
      <c r="P2" s="11">
        <v>4.0</v>
      </c>
      <c r="Q2" s="12"/>
      <c r="R2" s="13"/>
    </row>
    <row r="3">
      <c r="A3" s="14"/>
      <c r="B3" s="7">
        <v>1.0</v>
      </c>
      <c r="C3" s="11" t="s">
        <v>13</v>
      </c>
      <c r="D3" s="9" t="s">
        <v>14</v>
      </c>
      <c r="E3" s="15" t="s">
        <v>15</v>
      </c>
      <c r="F3" s="9">
        <v>20.0</v>
      </c>
      <c r="G3" s="9">
        <v>16.0</v>
      </c>
      <c r="H3" s="9">
        <v>3.0</v>
      </c>
      <c r="I3" s="11" t="s">
        <v>16</v>
      </c>
      <c r="J3" s="9" t="s">
        <v>17</v>
      </c>
      <c r="K3" s="7">
        <v>0.0747</v>
      </c>
      <c r="L3" s="7">
        <v>0.76</v>
      </c>
      <c r="M3" s="7">
        <v>0.81</v>
      </c>
      <c r="N3" s="7">
        <v>0.73</v>
      </c>
      <c r="O3" s="7">
        <v>0.76</v>
      </c>
      <c r="P3" s="16">
        <v>0.83</v>
      </c>
      <c r="Q3" s="17">
        <f t="shared" ref="Q3:Q15" si="1">AVERAGE(L3:P3)</f>
        <v>0.778</v>
      </c>
      <c r="R3" s="17">
        <f t="shared" ref="R3:R15" si="2">_xlfn.VAR.P(L3:P3)</f>
        <v>0.001336</v>
      </c>
      <c r="S3" s="18"/>
    </row>
    <row r="4" ht="16.5" customHeight="1">
      <c r="A4" s="14"/>
      <c r="B4" s="7">
        <v>2.0</v>
      </c>
      <c r="C4" s="19"/>
      <c r="D4" s="7" t="s">
        <v>18</v>
      </c>
      <c r="E4" s="20" t="s">
        <v>15</v>
      </c>
      <c r="F4" s="7">
        <v>20.0</v>
      </c>
      <c r="G4" s="7">
        <v>16.0</v>
      </c>
      <c r="H4" s="7">
        <v>3.0</v>
      </c>
      <c r="I4" s="21" t="s">
        <v>16</v>
      </c>
      <c r="J4" s="7" t="s">
        <v>17</v>
      </c>
      <c r="K4" s="7">
        <v>0.0568</v>
      </c>
      <c r="L4" s="22">
        <v>0.77</v>
      </c>
      <c r="M4" s="22">
        <v>0.82</v>
      </c>
      <c r="N4" s="23">
        <v>0.78</v>
      </c>
      <c r="O4" s="22">
        <v>0.75</v>
      </c>
      <c r="P4" s="24">
        <v>0.76</v>
      </c>
      <c r="Q4" s="25">
        <f t="shared" si="1"/>
        <v>0.776</v>
      </c>
      <c r="R4" s="17">
        <f t="shared" si="2"/>
        <v>0.000584</v>
      </c>
    </row>
    <row r="5">
      <c r="A5" s="14"/>
      <c r="B5" s="7">
        <v>3.0</v>
      </c>
      <c r="C5" s="19"/>
      <c r="D5" s="26" t="s">
        <v>14</v>
      </c>
      <c r="E5" s="27" t="s">
        <v>15</v>
      </c>
      <c r="F5" s="26">
        <v>20.0</v>
      </c>
      <c r="G5" s="26">
        <v>16.0</v>
      </c>
      <c r="H5" s="26">
        <v>2.0</v>
      </c>
      <c r="I5" s="28" t="s">
        <v>16</v>
      </c>
      <c r="J5" s="26" t="s">
        <v>17</v>
      </c>
      <c r="K5" s="29">
        <v>0.0264</v>
      </c>
      <c r="L5" s="29">
        <v>0.8</v>
      </c>
      <c r="M5" s="30">
        <v>0.8</v>
      </c>
      <c r="N5" s="30">
        <v>0.72</v>
      </c>
      <c r="O5" s="30">
        <v>0.76</v>
      </c>
      <c r="P5" s="30">
        <v>0.83</v>
      </c>
      <c r="Q5" s="31">
        <f t="shared" si="1"/>
        <v>0.782</v>
      </c>
      <c r="R5" s="31">
        <f t="shared" si="2"/>
        <v>0.001456</v>
      </c>
    </row>
    <row r="6">
      <c r="A6" s="14"/>
      <c r="B6" s="7">
        <v>4.0</v>
      </c>
      <c r="C6" s="19"/>
      <c r="D6" s="32" t="s">
        <v>14</v>
      </c>
      <c r="E6" s="33" t="s">
        <v>15</v>
      </c>
      <c r="F6" s="9">
        <v>20.0</v>
      </c>
      <c r="G6" s="7">
        <v>16.0</v>
      </c>
      <c r="H6" s="17">
        <v>5.0</v>
      </c>
      <c r="I6" s="21" t="s">
        <v>16</v>
      </c>
      <c r="J6" s="7" t="s">
        <v>17</v>
      </c>
      <c r="K6" s="34">
        <v>0.2749</v>
      </c>
      <c r="L6" s="34">
        <v>0.67</v>
      </c>
      <c r="M6" s="34">
        <v>0.78</v>
      </c>
      <c r="N6" s="35">
        <v>0.75</v>
      </c>
      <c r="O6" s="34">
        <v>0.79</v>
      </c>
      <c r="P6" s="36">
        <v>0.76</v>
      </c>
      <c r="Q6" s="17">
        <f t="shared" si="1"/>
        <v>0.75</v>
      </c>
      <c r="R6" s="17">
        <f t="shared" si="2"/>
        <v>0.0018</v>
      </c>
    </row>
    <row r="7">
      <c r="A7" s="14"/>
      <c r="B7" s="7">
        <v>5.0</v>
      </c>
      <c r="C7" s="19"/>
      <c r="D7" s="7" t="s">
        <v>14</v>
      </c>
      <c r="E7" s="33" t="s">
        <v>19</v>
      </c>
      <c r="F7" s="9">
        <v>20.0</v>
      </c>
      <c r="G7" s="32">
        <v>16.0</v>
      </c>
      <c r="H7" s="37">
        <v>3.0</v>
      </c>
      <c r="I7" s="38" t="s">
        <v>20</v>
      </c>
      <c r="J7" s="32" t="s">
        <v>17</v>
      </c>
      <c r="K7" s="39">
        <v>0.5684</v>
      </c>
      <c r="L7" s="37">
        <v>0.71</v>
      </c>
      <c r="M7" s="37">
        <v>0.78</v>
      </c>
      <c r="N7" s="40">
        <v>0.71</v>
      </c>
      <c r="O7" s="37">
        <v>0.75</v>
      </c>
      <c r="P7" s="41">
        <v>0.7</v>
      </c>
      <c r="Q7" s="17">
        <f t="shared" si="1"/>
        <v>0.73</v>
      </c>
      <c r="R7" s="17">
        <f t="shared" si="2"/>
        <v>0.00092</v>
      </c>
    </row>
    <row r="8">
      <c r="A8" s="14"/>
      <c r="B8" s="7">
        <v>6.0</v>
      </c>
      <c r="C8" s="19"/>
      <c r="D8" s="32" t="s">
        <v>14</v>
      </c>
      <c r="E8" s="20" t="s">
        <v>15</v>
      </c>
      <c r="F8" s="7">
        <v>20.0</v>
      </c>
      <c r="G8" s="7">
        <v>32.0</v>
      </c>
      <c r="H8" s="17">
        <v>3.0</v>
      </c>
      <c r="I8" s="21" t="s">
        <v>16</v>
      </c>
      <c r="J8" s="7" t="s">
        <v>17</v>
      </c>
      <c r="K8" s="17">
        <v>0.1033</v>
      </c>
      <c r="L8" s="17">
        <v>0.71</v>
      </c>
      <c r="M8" s="17">
        <v>0.76</v>
      </c>
      <c r="N8" s="42">
        <v>0.71</v>
      </c>
      <c r="O8" s="17">
        <v>0.77</v>
      </c>
      <c r="P8" s="8">
        <v>0.77</v>
      </c>
      <c r="Q8" s="17">
        <f t="shared" si="1"/>
        <v>0.744</v>
      </c>
      <c r="R8" s="17">
        <f t="shared" si="2"/>
        <v>0.000784</v>
      </c>
    </row>
    <row r="9">
      <c r="A9" s="14"/>
      <c r="B9" s="7">
        <v>7.0</v>
      </c>
      <c r="C9" s="19"/>
      <c r="D9" s="7" t="s">
        <v>14</v>
      </c>
      <c r="E9" s="43" t="s">
        <v>15</v>
      </c>
      <c r="F9" s="32">
        <v>20.0</v>
      </c>
      <c r="G9" s="32">
        <v>8.0</v>
      </c>
      <c r="H9" s="37">
        <v>3.0</v>
      </c>
      <c r="I9" s="38" t="s">
        <v>16</v>
      </c>
      <c r="J9" s="32" t="s">
        <v>17</v>
      </c>
      <c r="K9" s="37">
        <v>0.0516</v>
      </c>
      <c r="L9" s="37">
        <v>0.73</v>
      </c>
      <c r="M9" s="37">
        <v>0.82</v>
      </c>
      <c r="N9" s="40">
        <v>0.69</v>
      </c>
      <c r="O9" s="37">
        <v>0.76</v>
      </c>
      <c r="P9" s="41">
        <v>0.75</v>
      </c>
      <c r="Q9" s="17">
        <f t="shared" si="1"/>
        <v>0.75</v>
      </c>
      <c r="R9" s="17">
        <f t="shared" si="2"/>
        <v>0.0018</v>
      </c>
    </row>
    <row r="10">
      <c r="A10" s="14"/>
      <c r="B10" s="7">
        <v>8.0</v>
      </c>
      <c r="C10" s="19"/>
      <c r="D10" s="32" t="s">
        <v>14</v>
      </c>
      <c r="E10" s="33" t="s">
        <v>15</v>
      </c>
      <c r="F10" s="9">
        <v>100.0</v>
      </c>
      <c r="G10" s="9">
        <v>16.0</v>
      </c>
      <c r="H10" s="44">
        <v>3.0</v>
      </c>
      <c r="I10" s="11" t="s">
        <v>16</v>
      </c>
      <c r="J10" s="9" t="s">
        <v>17</v>
      </c>
      <c r="K10" s="44">
        <v>0.0061</v>
      </c>
      <c r="L10" s="44">
        <v>0.71</v>
      </c>
      <c r="M10" s="44">
        <v>0.73</v>
      </c>
      <c r="N10" s="45">
        <v>0.77</v>
      </c>
      <c r="O10" s="44">
        <v>0.75</v>
      </c>
      <c r="P10" s="46">
        <v>0.72</v>
      </c>
      <c r="Q10" s="17">
        <f t="shared" si="1"/>
        <v>0.736</v>
      </c>
      <c r="R10" s="17">
        <f t="shared" si="2"/>
        <v>0.000464</v>
      </c>
    </row>
    <row r="11">
      <c r="A11" s="14"/>
      <c r="B11" s="7">
        <v>9.0</v>
      </c>
      <c r="C11" s="19"/>
      <c r="D11" s="7" t="s">
        <v>14</v>
      </c>
      <c r="E11" s="20" t="s">
        <v>15</v>
      </c>
      <c r="F11" s="7">
        <v>20.0</v>
      </c>
      <c r="G11" s="7">
        <v>16.0</v>
      </c>
      <c r="H11" s="17">
        <v>3.0</v>
      </c>
      <c r="I11" s="21" t="s">
        <v>16</v>
      </c>
      <c r="J11" s="7" t="s">
        <v>16</v>
      </c>
      <c r="K11" s="44">
        <v>0.0363</v>
      </c>
      <c r="L11" s="44">
        <v>0.24</v>
      </c>
      <c r="M11" s="44">
        <v>0.7</v>
      </c>
      <c r="N11" s="45">
        <v>0.42</v>
      </c>
      <c r="O11" s="44">
        <v>0.12</v>
      </c>
      <c r="P11" s="46">
        <v>0.37</v>
      </c>
      <c r="Q11" s="17">
        <f t="shared" si="1"/>
        <v>0.37</v>
      </c>
      <c r="R11" s="17">
        <f t="shared" si="2"/>
        <v>0.03816</v>
      </c>
    </row>
    <row r="12">
      <c r="A12" s="14"/>
      <c r="B12" s="7">
        <v>10.0</v>
      </c>
      <c r="C12" s="19"/>
      <c r="D12" s="7" t="s">
        <v>14</v>
      </c>
      <c r="E12" s="20" t="s">
        <v>15</v>
      </c>
      <c r="F12" s="47">
        <v>20.0</v>
      </c>
      <c r="G12" s="47">
        <v>16.0</v>
      </c>
      <c r="H12" s="48">
        <v>3.0</v>
      </c>
      <c r="I12" s="49" t="s">
        <v>21</v>
      </c>
      <c r="J12" s="48" t="s">
        <v>17</v>
      </c>
      <c r="K12" s="34">
        <v>0.0189</v>
      </c>
      <c r="L12" s="34">
        <v>0.81</v>
      </c>
      <c r="M12" s="34">
        <v>0.81</v>
      </c>
      <c r="N12" s="35">
        <v>0.73</v>
      </c>
      <c r="O12" s="34">
        <v>0.8</v>
      </c>
      <c r="P12" s="36">
        <v>0.73</v>
      </c>
      <c r="Q12" s="17">
        <f t="shared" si="1"/>
        <v>0.776</v>
      </c>
      <c r="R12" s="17">
        <f t="shared" si="2"/>
        <v>0.001424</v>
      </c>
    </row>
    <row r="13">
      <c r="A13" s="14"/>
      <c r="B13" s="7">
        <v>11.0</v>
      </c>
      <c r="C13" s="50"/>
      <c r="D13" s="48" t="s">
        <v>22</v>
      </c>
      <c r="E13" s="20" t="s">
        <v>15</v>
      </c>
      <c r="F13" s="48">
        <v>50.0</v>
      </c>
      <c r="G13" s="48">
        <v>16.0</v>
      </c>
      <c r="H13" s="48">
        <v>3.0</v>
      </c>
      <c r="I13" s="51" t="s">
        <v>16</v>
      </c>
      <c r="J13" s="48" t="s">
        <v>16</v>
      </c>
      <c r="K13" s="48">
        <v>0.0236</v>
      </c>
      <c r="L13" s="47">
        <v>0.73</v>
      </c>
      <c r="M13" s="47">
        <v>0.82</v>
      </c>
      <c r="N13" s="52">
        <v>0.73</v>
      </c>
      <c r="O13" s="47">
        <v>0.76</v>
      </c>
      <c r="P13" s="53">
        <v>0.83</v>
      </c>
      <c r="Q13" s="17">
        <f t="shared" si="1"/>
        <v>0.774</v>
      </c>
      <c r="R13" s="17">
        <f t="shared" si="2"/>
        <v>0.001864</v>
      </c>
    </row>
    <row r="14">
      <c r="A14" s="14"/>
      <c r="B14" s="7">
        <v>12.0</v>
      </c>
      <c r="C14" s="9" t="s">
        <v>23</v>
      </c>
      <c r="D14" s="7" t="s">
        <v>18</v>
      </c>
      <c r="E14" s="20" t="s">
        <v>15</v>
      </c>
      <c r="F14" s="47">
        <v>20.0</v>
      </c>
      <c r="G14" s="47">
        <v>16.0</v>
      </c>
      <c r="H14" s="48">
        <v>3.0</v>
      </c>
      <c r="I14" s="49" t="s">
        <v>16</v>
      </c>
      <c r="J14" s="17" t="s">
        <v>17</v>
      </c>
      <c r="K14" s="39">
        <v>0.0834</v>
      </c>
      <c r="L14" s="37">
        <v>0.62</v>
      </c>
      <c r="M14" s="37">
        <v>0.75</v>
      </c>
      <c r="N14" s="40">
        <v>0.54</v>
      </c>
      <c r="O14" s="37">
        <v>0.7</v>
      </c>
      <c r="P14" s="41">
        <v>0.69</v>
      </c>
      <c r="Q14" s="17">
        <f t="shared" si="1"/>
        <v>0.66</v>
      </c>
      <c r="R14" s="17">
        <f t="shared" si="2"/>
        <v>0.00532</v>
      </c>
    </row>
    <row r="15">
      <c r="B15" s="7">
        <v>13.0</v>
      </c>
      <c r="C15" s="54"/>
      <c r="D15" s="7" t="s">
        <v>14</v>
      </c>
      <c r="E15" s="20" t="s">
        <v>15</v>
      </c>
      <c r="F15" s="47">
        <v>20.0</v>
      </c>
      <c r="G15" s="47">
        <v>16.0</v>
      </c>
      <c r="H15" s="48">
        <v>3.0</v>
      </c>
      <c r="I15" s="49" t="s">
        <v>16</v>
      </c>
      <c r="J15" s="17" t="s">
        <v>17</v>
      </c>
      <c r="K15" s="17">
        <v>0.0953</v>
      </c>
      <c r="L15" s="7">
        <v>0.59</v>
      </c>
      <c r="M15" s="7">
        <v>0.74</v>
      </c>
      <c r="N15" s="7">
        <v>0.57</v>
      </c>
      <c r="O15" s="7">
        <v>0.75</v>
      </c>
      <c r="P15" s="16">
        <v>0.77</v>
      </c>
      <c r="Q15" s="17">
        <f t="shared" si="1"/>
        <v>0.684</v>
      </c>
      <c r="R15" s="17">
        <f t="shared" si="2"/>
        <v>0.007344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>
      <c r="P32" s="55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L1:P1"/>
    <mergeCell ref="Q2:R2"/>
    <mergeCell ref="C14:C15"/>
    <mergeCell ref="C3:C13"/>
    <mergeCell ref="C2:K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2025-02-07T19:23:50Z</dcterms:created>
</cp:coreProperties>
</file>